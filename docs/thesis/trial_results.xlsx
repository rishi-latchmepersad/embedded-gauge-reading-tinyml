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ojects\embedded-gauge-reading-tinyml\docs\thesis\"/>
    </mc:Choice>
  </mc:AlternateContent>
  <xr:revisionPtr revIDLastSave="0" documentId="13_ncr:1_{F07EA728-B3CA-4D21-8745-C5BD7A9E7759}" xr6:coauthVersionLast="47" xr6:coauthVersionMax="47" xr10:uidLastSave="{00000000-0000-0000-0000-000000000000}"/>
  <bookViews>
    <workbookView xWindow="-28920" yWindow="-13155" windowWidth="29040" windowHeight="15720" xr2:uid="{00000000-000D-0000-FFFF-FFFF00000000}"/>
  </bookViews>
  <sheets>
    <sheet name="Littlegood Temp Gau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5" i="1"/>
  <c r="G16" i="1"/>
  <c r="G17" i="1"/>
  <c r="G18" i="1"/>
  <c r="G19" i="1"/>
  <c r="G20" i="1"/>
  <c r="G21" i="1"/>
  <c r="G22" i="1"/>
  <c r="G23" i="1"/>
  <c r="G24" i="1"/>
  <c r="E14" i="1"/>
  <c r="E15" i="1"/>
  <c r="E16" i="1"/>
  <c r="E17" i="1"/>
  <c r="E18" i="1"/>
  <c r="E19" i="1"/>
  <c r="E20" i="1"/>
  <c r="E21" i="1"/>
  <c r="E22" i="1"/>
  <c r="E23" i="1"/>
  <c r="E24" i="1"/>
  <c r="E6" i="1"/>
  <c r="G4" i="1"/>
  <c r="G3" i="1"/>
  <c r="G5" i="1"/>
  <c r="G6" i="1"/>
  <c r="G7" i="1"/>
  <c r="G8" i="1"/>
  <c r="G9" i="1"/>
  <c r="G10" i="1"/>
  <c r="G11" i="1"/>
  <c r="G12" i="1"/>
  <c r="G13" i="1"/>
  <c r="E3" i="1"/>
  <c r="E4" i="1"/>
  <c r="E5" i="1"/>
  <c r="E7" i="1"/>
  <c r="E8" i="1"/>
  <c r="E9" i="1"/>
  <c r="E10" i="1"/>
  <c r="E11" i="1"/>
  <c r="E12" i="1"/>
  <c r="E13" i="1"/>
</calcChain>
</file>

<file path=xl/sharedStrings.xml><?xml version="1.0" encoding="utf-8"?>
<sst xmlns="http://schemas.openxmlformats.org/spreadsheetml/2006/main" count="8" uniqueCount="8">
  <si>
    <t>True Gauge Value (°C)</t>
  </si>
  <si>
    <t>Baseline Reading (°C)</t>
  </si>
  <si>
    <t>Baseline Error (°C)</t>
  </si>
  <si>
    <t>CNN Reading (°C)</t>
  </si>
  <si>
    <t>CNN Error (°C)</t>
  </si>
  <si>
    <t>Date Taken</t>
  </si>
  <si>
    <t>Trial #</t>
  </si>
  <si>
    <t>Ideal Conditions (camera 15cm from  gauge face, bright 62 lux room, no occlusion, dirt etc. on the gauge)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</si>
</sst>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3" borderId="0" xfId="2"/>
    <xf numFmtId="0" fontId="1" fillId="2" borderId="0" xfId="1"/>
    <xf numFmtId="0" fontId="0" fillId="0" borderId="0" xfId="0" applyAlignment="1">
      <alignment horizontal="center"/>
    </xf>
  </cellXfs>
  <cellStyles count="3">
    <cellStyle name="20% - Accent2" xfId="1" builtinId="34"/>
    <cellStyle name="40% - Accent6" xfId="2" builtinId="51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61F53-6EB9-430F-AD0B-641F58B9F8E6}" name="Table1" displayName="Table1" ref="A2:G24" totalsRowShown="0">
  <autoFilter ref="A2:G24" xr:uid="{EA761F53-6EB9-430F-AD0B-641F58B9F8E6}">
    <filterColumn colId="1">
      <filters>
        <filter val="2"/>
      </filters>
    </filterColumn>
  </autoFilter>
  <tableColumns count="7">
    <tableColumn id="6" xr3:uid="{D4C4D1C6-7F44-49E2-B9C5-12F2F88B04E7}" name="Date Taken"/>
    <tableColumn id="7" xr3:uid="{5263C883-55CF-4106-ABC4-D540FDA7BCC2}" name="Trial #"/>
    <tableColumn id="1" xr3:uid="{55E67B06-B347-4E71-9F7E-7291ED44B8F8}" name="True Gauge Value (°C)"/>
    <tableColumn id="2" xr3:uid="{72B4DA77-4500-4020-839A-5FF9BB5B0FC7}" name="Baseline Reading (°C)"/>
    <tableColumn id="3" xr3:uid="{EFCE5855-8158-4268-8452-02ED882A7C8C}" name="Baseline Error (°C)" dataDxfId="1">
      <calculatedColumnFormula>C3-D3</calculatedColumnFormula>
    </tableColumn>
    <tableColumn id="4" xr3:uid="{25B7ED08-8F38-4688-AF45-4D669C3B9CF4}" name="CNN Reading (°C)"/>
    <tableColumn id="5" xr3:uid="{6AB67677-22E9-414D-A670-B6B1A13B1EDB}" name="CNN Error (°C)" dataDxfId="0">
      <calculatedColumnFormula>C3-F3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B35" sqref="B35"/>
    </sheetView>
  </sheetViews>
  <sheetFormatPr defaultRowHeight="14.4" x14ac:dyDescent="0.55000000000000004"/>
  <cols>
    <col min="1" max="1" width="21.68359375" customWidth="1"/>
    <col min="2" max="2" width="21.20703125" customWidth="1"/>
    <col min="3" max="3" width="18.41796875" customWidth="1"/>
    <col min="4" max="4" width="21.7890625" bestFit="1" customWidth="1"/>
    <col min="5" max="5" width="19" bestFit="1" customWidth="1"/>
    <col min="6" max="6" width="18.20703125" bestFit="1" customWidth="1"/>
    <col min="7" max="7" width="15.41796875" bestFit="1" customWidth="1"/>
  </cols>
  <sheetData>
    <row r="1" spans="1:7" x14ac:dyDescent="0.55000000000000004">
      <c r="A1" s="4" t="s">
        <v>7</v>
      </c>
      <c r="B1" s="4"/>
      <c r="C1" s="4"/>
      <c r="D1" s="4"/>
      <c r="E1" s="4"/>
    </row>
    <row r="2" spans="1:7" x14ac:dyDescent="0.55000000000000004">
      <c r="A2" t="s">
        <v>5</v>
      </c>
      <c r="B2" t="s">
        <v>6</v>
      </c>
      <c r="C2" t="s">
        <v>0</v>
      </c>
      <c r="D2" t="s">
        <v>1</v>
      </c>
      <c r="E2" s="3" t="s">
        <v>2</v>
      </c>
      <c r="F2" t="s">
        <v>3</v>
      </c>
      <c r="G2" s="2" t="s">
        <v>4</v>
      </c>
    </row>
    <row r="3" spans="1:7" hidden="1" x14ac:dyDescent="0.55000000000000004">
      <c r="A3" s="1">
        <v>46136</v>
      </c>
      <c r="B3">
        <v>1</v>
      </c>
      <c r="C3">
        <v>-30</v>
      </c>
      <c r="D3">
        <v>-26.1</v>
      </c>
      <c r="E3">
        <f t="shared" ref="E3:E24" si="0">C3-D3</f>
        <v>-3.8999999999999986</v>
      </c>
      <c r="F3">
        <v>-27</v>
      </c>
      <c r="G3">
        <f t="shared" ref="G3:G24" si="1">C3-F3</f>
        <v>-3</v>
      </c>
    </row>
    <row r="4" spans="1:7" hidden="1" x14ac:dyDescent="0.55000000000000004">
      <c r="A4" s="1">
        <v>46136</v>
      </c>
      <c r="B4">
        <v>1</v>
      </c>
      <c r="C4">
        <v>-20</v>
      </c>
      <c r="D4">
        <v>-18.3</v>
      </c>
      <c r="E4">
        <f>C4-F4</f>
        <v>2.1999999999999993</v>
      </c>
      <c r="F4">
        <v>-22.2</v>
      </c>
      <c r="G4">
        <f>C4-F4</f>
        <v>2.1999999999999993</v>
      </c>
    </row>
    <row r="5" spans="1:7" hidden="1" x14ac:dyDescent="0.55000000000000004">
      <c r="A5" s="1">
        <v>46136</v>
      </c>
      <c r="B5">
        <v>1</v>
      </c>
      <c r="C5">
        <v>-15</v>
      </c>
      <c r="D5">
        <v>-14.9</v>
      </c>
      <c r="E5">
        <f t="shared" si="0"/>
        <v>-9.9999999999999645E-2</v>
      </c>
      <c r="F5">
        <v>-13.2</v>
      </c>
      <c r="G5">
        <f t="shared" si="1"/>
        <v>-1.8000000000000007</v>
      </c>
    </row>
    <row r="6" spans="1:7" hidden="1" x14ac:dyDescent="0.55000000000000004">
      <c r="A6" s="1">
        <v>46136</v>
      </c>
      <c r="B6">
        <v>1</v>
      </c>
      <c r="C6">
        <v>-5</v>
      </c>
      <c r="D6">
        <v>-7.3</v>
      </c>
      <c r="E6">
        <f t="shared" si="0"/>
        <v>2.2999999999999998</v>
      </c>
      <c r="F6">
        <v>-5</v>
      </c>
      <c r="G6">
        <f t="shared" si="1"/>
        <v>0</v>
      </c>
    </row>
    <row r="7" spans="1:7" hidden="1" x14ac:dyDescent="0.55000000000000004">
      <c r="A7" s="1">
        <v>46136</v>
      </c>
      <c r="B7">
        <v>1</v>
      </c>
      <c r="C7">
        <v>0</v>
      </c>
      <c r="D7">
        <v>-0.1</v>
      </c>
      <c r="E7">
        <f t="shared" si="0"/>
        <v>0.1</v>
      </c>
      <c r="F7">
        <v>1.2</v>
      </c>
      <c r="G7">
        <f t="shared" si="1"/>
        <v>-1.2</v>
      </c>
    </row>
    <row r="8" spans="1:7" hidden="1" x14ac:dyDescent="0.55000000000000004">
      <c r="A8" s="1">
        <v>46136</v>
      </c>
      <c r="B8">
        <v>1</v>
      </c>
      <c r="C8">
        <v>10</v>
      </c>
      <c r="D8">
        <v>9.3000000000000007</v>
      </c>
      <c r="E8">
        <f t="shared" si="0"/>
        <v>0.69999999999999929</v>
      </c>
      <c r="F8">
        <v>7.6</v>
      </c>
      <c r="G8">
        <f t="shared" si="1"/>
        <v>2.4000000000000004</v>
      </c>
    </row>
    <row r="9" spans="1:7" hidden="1" x14ac:dyDescent="0.55000000000000004">
      <c r="A9" s="1">
        <v>46136</v>
      </c>
      <c r="B9">
        <v>1</v>
      </c>
      <c r="C9">
        <v>15</v>
      </c>
      <c r="D9">
        <v>36.4</v>
      </c>
      <c r="E9">
        <f t="shared" si="0"/>
        <v>-21.4</v>
      </c>
      <c r="F9">
        <v>16.100000000000001</v>
      </c>
      <c r="G9">
        <f t="shared" si="1"/>
        <v>-1.1000000000000014</v>
      </c>
    </row>
    <row r="10" spans="1:7" hidden="1" x14ac:dyDescent="0.55000000000000004">
      <c r="A10" s="1">
        <v>46136</v>
      </c>
      <c r="B10">
        <v>1</v>
      </c>
      <c r="C10">
        <v>25</v>
      </c>
      <c r="D10">
        <v>32.9</v>
      </c>
      <c r="E10">
        <f t="shared" si="0"/>
        <v>-7.8999999999999986</v>
      </c>
      <c r="F10">
        <v>27.4</v>
      </c>
      <c r="G10">
        <f t="shared" si="1"/>
        <v>-2.3999999999999986</v>
      </c>
    </row>
    <row r="11" spans="1:7" hidden="1" x14ac:dyDescent="0.55000000000000004">
      <c r="A11" s="1">
        <v>46136</v>
      </c>
      <c r="B11">
        <v>1</v>
      </c>
      <c r="C11">
        <v>30</v>
      </c>
      <c r="D11">
        <v>38.799999999999997</v>
      </c>
      <c r="E11">
        <f t="shared" si="0"/>
        <v>-8.7999999999999972</v>
      </c>
      <c r="F11">
        <v>33.299999999999997</v>
      </c>
      <c r="G11">
        <f t="shared" si="1"/>
        <v>-3.2999999999999972</v>
      </c>
    </row>
    <row r="12" spans="1:7" hidden="1" x14ac:dyDescent="0.55000000000000004">
      <c r="A12" s="1">
        <v>46136</v>
      </c>
      <c r="B12">
        <v>1</v>
      </c>
      <c r="C12">
        <v>40</v>
      </c>
      <c r="D12">
        <v>33.299999999999997</v>
      </c>
      <c r="E12">
        <f t="shared" si="0"/>
        <v>6.7000000000000028</v>
      </c>
      <c r="F12">
        <v>34.5</v>
      </c>
      <c r="G12">
        <f t="shared" si="1"/>
        <v>5.5</v>
      </c>
    </row>
    <row r="13" spans="1:7" hidden="1" x14ac:dyDescent="0.55000000000000004">
      <c r="A13" s="1">
        <v>46136</v>
      </c>
      <c r="B13">
        <v>1</v>
      </c>
      <c r="C13">
        <v>50</v>
      </c>
      <c r="D13">
        <v>-16</v>
      </c>
      <c r="E13">
        <f t="shared" si="0"/>
        <v>66</v>
      </c>
      <c r="F13">
        <v>46.4</v>
      </c>
      <c r="G13">
        <f t="shared" si="1"/>
        <v>3.6000000000000014</v>
      </c>
    </row>
    <row r="14" spans="1:7" x14ac:dyDescent="0.55000000000000004">
      <c r="A14" s="1">
        <v>46210</v>
      </c>
      <c r="B14">
        <v>2</v>
      </c>
      <c r="C14">
        <v>-30</v>
      </c>
      <c r="D14">
        <v>-28.2</v>
      </c>
      <c r="E14" s="3">
        <f t="shared" si="0"/>
        <v>-1.8000000000000007</v>
      </c>
      <c r="F14">
        <v>-28.5</v>
      </c>
      <c r="G14" s="2">
        <f t="shared" si="1"/>
        <v>-1.5</v>
      </c>
    </row>
    <row r="15" spans="1:7" x14ac:dyDescent="0.55000000000000004">
      <c r="A15" s="1">
        <v>46210</v>
      </c>
      <c r="B15">
        <v>2</v>
      </c>
      <c r="C15">
        <v>-20</v>
      </c>
      <c r="D15">
        <v>-22.3</v>
      </c>
      <c r="E15" s="3">
        <f t="shared" si="0"/>
        <v>2.3000000000000007</v>
      </c>
      <c r="F15">
        <v>-19.5</v>
      </c>
      <c r="G15" s="2">
        <f t="shared" si="1"/>
        <v>-0.5</v>
      </c>
    </row>
    <row r="16" spans="1:7" x14ac:dyDescent="0.55000000000000004">
      <c r="A16" s="1">
        <v>46210</v>
      </c>
      <c r="B16">
        <v>2</v>
      </c>
      <c r="C16">
        <v>-15</v>
      </c>
      <c r="D16">
        <v>-21.3</v>
      </c>
      <c r="E16" s="3">
        <f t="shared" si="0"/>
        <v>6.3000000000000007</v>
      </c>
      <c r="F16">
        <v>-15.9</v>
      </c>
      <c r="G16" s="2">
        <f t="shared" si="1"/>
        <v>0.90000000000000036</v>
      </c>
    </row>
    <row r="17" spans="1:7" x14ac:dyDescent="0.55000000000000004">
      <c r="A17" s="1">
        <v>46210</v>
      </c>
      <c r="B17">
        <v>2</v>
      </c>
      <c r="C17">
        <v>-5</v>
      </c>
      <c r="D17">
        <v>-28</v>
      </c>
      <c r="E17" s="3">
        <f t="shared" si="0"/>
        <v>23</v>
      </c>
      <c r="F17">
        <v>-5.2</v>
      </c>
      <c r="G17" s="2">
        <f t="shared" si="1"/>
        <v>0.20000000000000018</v>
      </c>
    </row>
    <row r="18" spans="1:7" x14ac:dyDescent="0.55000000000000004">
      <c r="A18" s="1">
        <v>46210</v>
      </c>
      <c r="B18">
        <v>2</v>
      </c>
      <c r="C18">
        <v>0</v>
      </c>
      <c r="D18">
        <v>-29.8</v>
      </c>
      <c r="E18" s="3">
        <f t="shared" si="0"/>
        <v>29.8</v>
      </c>
      <c r="F18">
        <v>-2.2000000000000002</v>
      </c>
      <c r="G18" s="2">
        <f t="shared" si="1"/>
        <v>2.2000000000000002</v>
      </c>
    </row>
    <row r="19" spans="1:7" x14ac:dyDescent="0.55000000000000004">
      <c r="A19" s="1">
        <v>46210</v>
      </c>
      <c r="B19">
        <v>2</v>
      </c>
      <c r="C19">
        <v>10</v>
      </c>
      <c r="D19">
        <v>12</v>
      </c>
      <c r="E19" s="3">
        <f t="shared" si="0"/>
        <v>-2</v>
      </c>
      <c r="F19">
        <v>9.8000000000000007</v>
      </c>
      <c r="G19" s="2">
        <f t="shared" si="1"/>
        <v>0.19999999999999929</v>
      </c>
    </row>
    <row r="20" spans="1:7" x14ac:dyDescent="0.55000000000000004">
      <c r="A20" s="1">
        <v>46210</v>
      </c>
      <c r="B20">
        <v>2</v>
      </c>
      <c r="C20">
        <v>15</v>
      </c>
      <c r="D20">
        <v>-22</v>
      </c>
      <c r="E20" s="3">
        <f t="shared" si="0"/>
        <v>37</v>
      </c>
      <c r="F20">
        <v>16</v>
      </c>
      <c r="G20" s="2">
        <f t="shared" si="1"/>
        <v>-1</v>
      </c>
    </row>
    <row r="21" spans="1:7" x14ac:dyDescent="0.55000000000000004">
      <c r="A21" s="1">
        <v>46210</v>
      </c>
      <c r="B21">
        <v>2</v>
      </c>
      <c r="C21">
        <v>25</v>
      </c>
      <c r="D21">
        <v>-29</v>
      </c>
      <c r="E21" s="3">
        <f t="shared" si="0"/>
        <v>54</v>
      </c>
      <c r="F21">
        <v>28.1</v>
      </c>
      <c r="G21" s="2">
        <f t="shared" si="1"/>
        <v>-3.1000000000000014</v>
      </c>
    </row>
    <row r="22" spans="1:7" x14ac:dyDescent="0.55000000000000004">
      <c r="A22" s="1">
        <v>46210</v>
      </c>
      <c r="B22">
        <v>2</v>
      </c>
      <c r="C22">
        <v>30</v>
      </c>
      <c r="D22">
        <v>-29</v>
      </c>
      <c r="E22" s="3">
        <f t="shared" si="0"/>
        <v>59</v>
      </c>
      <c r="F22">
        <v>32.200000000000003</v>
      </c>
      <c r="G22" s="2">
        <f t="shared" si="1"/>
        <v>-2.2000000000000028</v>
      </c>
    </row>
    <row r="23" spans="1:7" x14ac:dyDescent="0.55000000000000004">
      <c r="A23" s="1">
        <v>46210</v>
      </c>
      <c r="B23">
        <v>2</v>
      </c>
      <c r="C23">
        <v>40</v>
      </c>
      <c r="D23">
        <v>-25.9</v>
      </c>
      <c r="E23" s="3">
        <f t="shared" si="0"/>
        <v>65.900000000000006</v>
      </c>
      <c r="F23">
        <v>39.9</v>
      </c>
      <c r="G23" s="2">
        <f t="shared" si="1"/>
        <v>0.10000000000000142</v>
      </c>
    </row>
    <row r="24" spans="1:7" x14ac:dyDescent="0.55000000000000004">
      <c r="A24" s="1">
        <v>46210</v>
      </c>
      <c r="B24">
        <v>2</v>
      </c>
      <c r="C24">
        <v>50</v>
      </c>
      <c r="D24">
        <v>-10.5</v>
      </c>
      <c r="E24" s="3">
        <f t="shared" si="0"/>
        <v>60.5</v>
      </c>
      <c r="F24">
        <v>52.2</v>
      </c>
      <c r="G24" s="2">
        <f t="shared" si="1"/>
        <v>-2.2000000000000028</v>
      </c>
    </row>
  </sheetData>
  <mergeCells count="1">
    <mergeCell ref="A1:E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Littlegood Temp Gauge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rishi_latchmepersad</dc:creator>
  <cp:lastModifiedBy>Rishi Latchmepersad</cp:lastModifiedBy>
  <dcterms:created xsi:type="dcterms:W3CDTF">2015-06-05T18:17:20Z</dcterms:created>
  <dcterms:modified xsi:type="dcterms:W3CDTF">2026-08-15T13:45:28Z</dcterms:modified>
</cp:coreProperties>
</file>